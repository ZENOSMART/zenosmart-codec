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isa\Desktop\zenosmart-codec\"/>
    </mc:Choice>
  </mc:AlternateContent>
  <xr:revisionPtr revIDLastSave="0" documentId="13_ncr:1_{C59BCB96-8EE0-4FE8-8700-E47A5D919188}" xr6:coauthVersionLast="47" xr6:coauthVersionMax="47" xr10:uidLastSave="{00000000-0000-0000-0000-000000000000}"/>
  <bookViews>
    <workbookView xWindow="-120" yWindow="-16320" windowWidth="29040" windowHeight="15720" activeTab="7" xr2:uid="{00000000-000D-0000-FFFF-FFFF00000000}"/>
  </bookViews>
  <sheets>
    <sheet name="Kanallar Idler" sheetId="1" r:id="rId1"/>
    <sheet name="Genel Bilgi" sheetId="4" r:id="rId2"/>
    <sheet name="DeviceSetup 1" sheetId="3" r:id="rId3"/>
    <sheet name="LocationSetup 2" sheetId="5" r:id="rId4"/>
    <sheet name="Live Control 4" sheetId="8" r:id="rId5"/>
    <sheet name="Sensor Data 5" sheetId="9" r:id="rId6"/>
    <sheet name="Send Task 6" sheetId="10" r:id="rId7"/>
    <sheet name="TaskResponse 7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1" l="1"/>
  <c r="B45" i="10"/>
</calcChain>
</file>

<file path=xl/sharedStrings.xml><?xml version="1.0" encoding="utf-8"?>
<sst xmlns="http://schemas.openxmlformats.org/spreadsheetml/2006/main" count="298" uniqueCount="134">
  <si>
    <t>Kanal Id</t>
  </si>
  <si>
    <t>Name</t>
  </si>
  <si>
    <t>Protocol</t>
  </si>
  <si>
    <t>byte</t>
  </si>
  <si>
    <t xml:space="preserve">Alt Kanal </t>
  </si>
  <si>
    <t>DataLenght</t>
  </si>
  <si>
    <t>Data Type</t>
  </si>
  <si>
    <t>Dim Value</t>
  </si>
  <si>
    <t>Dali2/D4i</t>
  </si>
  <si>
    <t>Zorunlu mu</t>
  </si>
  <si>
    <t>Device Type</t>
  </si>
  <si>
    <t>Status</t>
  </si>
  <si>
    <t>Fault Summary</t>
  </si>
  <si>
    <t>Supply Voltage</t>
  </si>
  <si>
    <t>Power Factor</t>
  </si>
  <si>
    <t>Internal Temp</t>
  </si>
  <si>
    <t>Output Current Percent</t>
  </si>
  <si>
    <t>Light SRC current</t>
  </si>
  <si>
    <t>Light SRC temp</t>
  </si>
  <si>
    <t>ACT PWR SCALE FACTOR</t>
  </si>
  <si>
    <t>Operating Time</t>
  </si>
  <si>
    <t>Start Counter</t>
  </si>
  <si>
    <t>Short Address</t>
  </si>
  <si>
    <t>Light SRC Voltage</t>
  </si>
  <si>
    <t>ushort</t>
  </si>
  <si>
    <t>int</t>
  </si>
  <si>
    <t>D4İ</t>
  </si>
  <si>
    <t>Evet</t>
  </si>
  <si>
    <t>Dali2:1 , D4i: 2, Bilinmiyor:0</t>
  </si>
  <si>
    <t>Not</t>
  </si>
  <si>
    <t>Bit0: Control Gear Failure, 
Bit1:lampFailure, 
Bit2:lampOn, 
Bit3: limitError, 
Bit4: fadeRunning, 
Bit5: resetState, 
Bit6: missing Short Address, 
Bit7: powerCycleSeen</t>
  </si>
  <si>
    <t>Bit0: Overall Failure Flag, 
Bit1:Under Voltage Flag, 
Bit2:Over Voltage Flag, 
Bit3: Power Limit Flag, 
Bit4: thermal derating flag, 
Bit5: thermal shutdown flag, 
Bit6: overall failure flag light src, 
Bit7: short circuit light src Bit8: thermal derating light src flag                                    Bit9: thermal shutdown light src flag</t>
  </si>
  <si>
    <t>Latitude</t>
  </si>
  <si>
    <t>Longitude</t>
  </si>
  <si>
    <t>Timezone</t>
  </si>
  <si>
    <t>Data</t>
  </si>
  <si>
    <t>Datalenght</t>
  </si>
  <si>
    <t>float</t>
  </si>
  <si>
    <t>Byte Lenght</t>
  </si>
  <si>
    <t>İstenen Kanal Id-1</t>
  </si>
  <si>
    <t>İstenen Kanal Id-2</t>
  </si>
  <si>
    <t>İstenen Kanal Id-3</t>
  </si>
  <si>
    <t>İstenen Kanal Id-4</t>
  </si>
  <si>
    <t>İstenen Kanal Id-5</t>
  </si>
  <si>
    <t>İstenen Kanal Id-6</t>
  </si>
  <si>
    <t>İstenen Kanal Id-7</t>
  </si>
  <si>
    <t>İstenen Kanal Id-8</t>
  </si>
  <si>
    <t>İstenen Kanal Id-9</t>
  </si>
  <si>
    <t>İstenen Kanal Id-10</t>
  </si>
  <si>
    <t>…...............................</t>
  </si>
  <si>
    <t>İstenen Kanal Id-X</t>
  </si>
  <si>
    <t>Açıklama</t>
  </si>
  <si>
    <t>1 değeri</t>
  </si>
  <si>
    <t>Kanalın id'si eklenir</t>
  </si>
  <si>
    <t xml:space="preserve">OpCode </t>
  </si>
  <si>
    <t>2 değeri</t>
  </si>
  <si>
    <t>Value</t>
  </si>
  <si>
    <t>dim değeri 0-100 arası</t>
  </si>
  <si>
    <t>5 değeri</t>
  </si>
  <si>
    <t>4 değeri</t>
  </si>
  <si>
    <t>Year</t>
  </si>
  <si>
    <t>Month</t>
  </si>
  <si>
    <t>Day</t>
  </si>
  <si>
    <t>Hour</t>
  </si>
  <si>
    <t>Minute</t>
  </si>
  <si>
    <t>Second</t>
  </si>
  <si>
    <t>Valueler</t>
  </si>
  <si>
    <t>2000+Value eklenmeli</t>
  </si>
  <si>
    <t>X</t>
  </si>
  <si>
    <t>6 değeri</t>
  </si>
  <si>
    <t>Operation Type</t>
  </si>
  <si>
    <t>Task ProfileId</t>
  </si>
  <si>
    <t>Start Year</t>
  </si>
  <si>
    <t>Start Month</t>
  </si>
  <si>
    <t>Start Day</t>
  </si>
  <si>
    <t>End Year</t>
  </si>
  <si>
    <t>End Month</t>
  </si>
  <si>
    <t>End Day</t>
  </si>
  <si>
    <t>Priority</t>
  </si>
  <si>
    <t>CyclicType</t>
  </si>
  <si>
    <t>CyclicTime</t>
  </si>
  <si>
    <t>offDaysMask</t>
  </si>
  <si>
    <t>ChannelNumber</t>
  </si>
  <si>
    <t>onTimeHour-1</t>
  </si>
  <si>
    <t>onTimeMinute-1</t>
  </si>
  <si>
    <t>onTimeOffset-1</t>
  </si>
  <si>
    <t>offTimeHour-1</t>
  </si>
  <si>
    <t>offTimeMinute-1</t>
  </si>
  <si>
    <t>offTimeOffset-1</t>
  </si>
  <si>
    <t>value-1</t>
  </si>
  <si>
    <t>onTimeHour-2</t>
  </si>
  <si>
    <t>onTimeMinute-2</t>
  </si>
  <si>
    <t>onTimeOffset-2</t>
  </si>
  <si>
    <t>offTimeHour-2</t>
  </si>
  <si>
    <t>offTimeMinute-2</t>
  </si>
  <si>
    <t>offTimeOffset-2</t>
  </si>
  <si>
    <t>value-2</t>
  </si>
  <si>
    <t>onTimeHour-3</t>
  </si>
  <si>
    <t>onTimeMinute-3</t>
  </si>
  <si>
    <t>onTimeOffset-3</t>
  </si>
  <si>
    <t>offTimeHour-3</t>
  </si>
  <si>
    <t>offTimeMinute-3</t>
  </si>
  <si>
    <t>offTimeOffset-3</t>
  </si>
  <si>
    <t>value-3</t>
  </si>
  <si>
    <t>onTimeHour-4</t>
  </si>
  <si>
    <t>onTimeMinute-4</t>
  </si>
  <si>
    <t>onTimeOffset-4</t>
  </si>
  <si>
    <t>offTimeHour-4</t>
  </si>
  <si>
    <t>offTimeMinute-4</t>
  </si>
  <si>
    <t>offTimeOffset-4</t>
  </si>
  <si>
    <t>value-4</t>
  </si>
  <si>
    <t>Toplam</t>
  </si>
  <si>
    <t>1 Deploy, 2 Update, 3 Delete</t>
  </si>
  <si>
    <t>2000 Fazlası örneğin 26</t>
  </si>
  <si>
    <t>forever ise 99</t>
  </si>
  <si>
    <t>forever ise 100</t>
  </si>
  <si>
    <t>forever ise 101</t>
  </si>
  <si>
    <t>2 Odd, 3 Even, 4 Cyclic, 5 Custom</t>
  </si>
  <si>
    <t>eğer cyclic ise kaç günde bir olacağı girilir değilse 0</t>
  </si>
  <si>
    <t>Pazar 1den başlar. Bit mask olarak</t>
  </si>
  <si>
    <t>eğer sunrise ise 62, eğer sunset ise 61</t>
  </si>
  <si>
    <t xml:space="preserve"> [-60,60] arası girilir</t>
  </si>
  <si>
    <t>0-100 Arası dim seviyesi girilir</t>
  </si>
  <si>
    <t>Channel Number</t>
  </si>
  <si>
    <t>Response Status</t>
  </si>
  <si>
    <t>Response Code</t>
  </si>
  <si>
    <t>Response Year</t>
  </si>
  <si>
    <t>Response Month</t>
  </si>
  <si>
    <t>Response Day</t>
  </si>
  <si>
    <t>Response Hour</t>
  </si>
  <si>
    <t>Response Minutes</t>
  </si>
  <si>
    <t>7 değeri</t>
  </si>
  <si>
    <t>0 ise PASS, 1 ise Fail</t>
  </si>
  <si>
    <t>1 deploy, 2 update, 3 delete için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</si>
</sst>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114300</xdr:rowOff>
    </xdr:from>
    <xdr:to>
      <xdr:col>3</xdr:col>
      <xdr:colOff>300990</xdr:colOff>
      <xdr:row>16</xdr:row>
      <xdr:rowOff>95250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A7A4865D-E04F-4255-812B-38DAC6C2B944}"/>
            </a:ext>
          </a:extLst>
        </xdr:cNvPr>
        <xdr:cNvSpPr txBox="1"/>
      </xdr:nvSpPr>
      <xdr:spPr>
        <a:xfrm>
          <a:off x="447675" y="295275"/>
          <a:ext cx="5501640" cy="2695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tr-TR" sz="1400"/>
            <a:t>Datalar her zaman little-endian formatında gelir.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/>
            <a:t>İlk</a:t>
          </a:r>
          <a:r>
            <a:rPr lang="tr-TR" sz="1400" baseline="0"/>
            <a:t> 2 byte başlık datasıdır.  1.byte opCode  2.byte dataLenght olur.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DataLenght başlık datası hariç uzunluktur. Örneğin toplam data 20 byte ise dataLenght 18 byte olur 2 byte başlık datası hariç.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opCode ilk biti 1 ise set (response), 0 ise get (request) oluyor.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Cihaz join olunca device setup get atar ve device setup set bekler. Ardından location get atar ve location-set bekler.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tr-TR" sz="1400" baseline="0"/>
            <a:t>Get datalarında sadece başlık bilgisi olur. 2 byte devamı olmaz. datalenght 0 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tr-TR" sz="1400" baseline="0"/>
        </a:p>
        <a:p>
          <a:endParaRPr lang="tr-T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</xdr:colOff>
      <xdr:row>2</xdr:row>
      <xdr:rowOff>116205</xdr:rowOff>
    </xdr:from>
    <xdr:to>
      <xdr:col>14</xdr:col>
      <xdr:colOff>24765</xdr:colOff>
      <xdr:row>10</xdr:row>
      <xdr:rowOff>45720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F413FB4E-3BE9-13D1-6423-CB2B7B7993EC}"/>
            </a:ext>
          </a:extLst>
        </xdr:cNvPr>
        <xdr:cNvSpPr txBox="1"/>
      </xdr:nvSpPr>
      <xdr:spPr>
        <a:xfrm>
          <a:off x="7469505" y="716280"/>
          <a:ext cx="5490210" cy="137731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tx1"/>
              </a:solidFill>
            </a:rPr>
            <a:t>Bu data</a:t>
          </a:r>
          <a:r>
            <a:rPr lang="tr-TR" sz="1400" baseline="0">
              <a:solidFill>
                <a:schemeClr val="tx1"/>
              </a:solidFill>
            </a:rPr>
            <a:t> device setup set mesajı içindir. Cihaz device setup get mesajı attıktan sonra set mesajını bekler. </a:t>
          </a:r>
        </a:p>
        <a:p>
          <a:r>
            <a:rPr lang="tr-TR" sz="1400" baseline="0">
              <a:solidFill>
                <a:schemeClr val="tx1"/>
              </a:solidFill>
            </a:rPr>
            <a:t>Seçilen kanalların dataLenght kısmı toplam 48 byte geçemez. 50 Byte sınırı var</a:t>
          </a:r>
          <a:endParaRPr lang="tr-TR" sz="14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</xdr:colOff>
      <xdr:row>2</xdr:row>
      <xdr:rowOff>116205</xdr:rowOff>
    </xdr:from>
    <xdr:to>
      <xdr:col>14</xdr:col>
      <xdr:colOff>20955</xdr:colOff>
      <xdr:row>6</xdr:row>
      <xdr:rowOff>85725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33E94DC6-3352-47D5-8FBB-A9CFAD1FC01C}"/>
            </a:ext>
          </a:extLst>
        </xdr:cNvPr>
        <xdr:cNvSpPr txBox="1"/>
      </xdr:nvSpPr>
      <xdr:spPr>
        <a:xfrm>
          <a:off x="7465695" y="716280"/>
          <a:ext cx="5490210" cy="69342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tx1"/>
              </a:solidFill>
            </a:rPr>
            <a:t>Bu data</a:t>
          </a:r>
          <a:r>
            <a:rPr lang="tr-TR" sz="1400" baseline="0">
              <a:solidFill>
                <a:schemeClr val="tx1"/>
              </a:solidFill>
            </a:rPr>
            <a:t> location setup set mesajı içindir. Cihaz location setup get mesajı attıktan sonra set mesajını bekler.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</xdr:colOff>
      <xdr:row>2</xdr:row>
      <xdr:rowOff>116205</xdr:rowOff>
    </xdr:from>
    <xdr:to>
      <xdr:col>14</xdr:col>
      <xdr:colOff>20955</xdr:colOff>
      <xdr:row>6</xdr:row>
      <xdr:rowOff>85725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D5157ADE-07FF-42D3-A6F3-0735CAA188A5}"/>
            </a:ext>
          </a:extLst>
        </xdr:cNvPr>
        <xdr:cNvSpPr txBox="1"/>
      </xdr:nvSpPr>
      <xdr:spPr>
        <a:xfrm>
          <a:off x="7469505" y="716280"/>
          <a:ext cx="5482590" cy="69532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>
              <a:solidFill>
                <a:schemeClr val="tx1"/>
              </a:solidFill>
            </a:rPr>
            <a:t>Bu data</a:t>
          </a:r>
          <a:r>
            <a:rPr lang="tr-TR" sz="1400" baseline="0">
              <a:solidFill>
                <a:schemeClr val="tx1"/>
              </a:solidFill>
            </a:rPr>
            <a:t> cihaza live control yapmak için kullanılır.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</xdr:colOff>
      <xdr:row>2</xdr:row>
      <xdr:rowOff>116205</xdr:rowOff>
    </xdr:from>
    <xdr:to>
      <xdr:col>14</xdr:col>
      <xdr:colOff>17145</xdr:colOff>
      <xdr:row>8</xdr:row>
      <xdr:rowOff>142875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897DF0BE-4546-4DA0-9532-7D8829C7384F}"/>
            </a:ext>
          </a:extLst>
        </xdr:cNvPr>
        <xdr:cNvSpPr txBox="1"/>
      </xdr:nvSpPr>
      <xdr:spPr>
        <a:xfrm>
          <a:off x="7879080" y="716280"/>
          <a:ext cx="5482590" cy="111252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Cihazdan gelen sensör data formatı. 2 Byte başlık, 6 byte zaman bilgisi ardından device setupta ayarlanan kanalların değerleri gelir channelId küçükten büyüğe olacak şekilde. ve her kanalı kendi data type ve byte lenght uzunluğuna göre sırayla okunur.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8</xdr:row>
      <xdr:rowOff>49530</xdr:rowOff>
    </xdr:from>
    <xdr:to>
      <xdr:col>15</xdr:col>
      <xdr:colOff>81915</xdr:colOff>
      <xdr:row>17</xdr:row>
      <xdr:rowOff>158115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6A65C03B-B2C5-4DE0-89E8-90E46D26068D}"/>
            </a:ext>
          </a:extLst>
        </xdr:cNvPr>
        <xdr:cNvSpPr txBox="1"/>
      </xdr:nvSpPr>
      <xdr:spPr>
        <a:xfrm>
          <a:off x="9515475" y="1735455"/>
          <a:ext cx="5492115" cy="173736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Cihaza task göndermek için kullanılır. 4 tane zaman dilimi oluşturulabilir. Her zaman datanın tamamı gitmelidir. Girilmeyen zaman dilimleri içinde 0 eklenmeli dataya. Örneğin sadece 2 zaman dilimi olacaksa son 2si full 0 olmalı. Sunset ve Sunrise için hour ve minute değerleri 61,62 girilmeli. Taskın bitiş tarihi olmayacaksa yani delete gönderilene kadar çalışsın isteniyorsa end kısımlarına 99 eklenebilir.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2567940</xdr:colOff>
      <xdr:row>5</xdr:row>
      <xdr:rowOff>114300</xdr:rowOff>
    </xdr:from>
    <xdr:to>
      <xdr:col>12</xdr:col>
      <xdr:colOff>607695</xdr:colOff>
      <xdr:row>10</xdr:row>
      <xdr:rowOff>49530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71B1C425-DD43-4C5C-A0E6-A14510FCE702}"/>
            </a:ext>
          </a:extLst>
        </xdr:cNvPr>
        <xdr:cNvSpPr txBox="1"/>
      </xdr:nvSpPr>
      <xdr:spPr>
        <a:xfrm>
          <a:off x="8216265" y="1257300"/>
          <a:ext cx="5488305" cy="84010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aseline="0">
              <a:solidFill>
                <a:schemeClr val="tx1"/>
              </a:solidFill>
            </a:rPr>
            <a:t>Cihaz aldığı her task için task response atar. Status eğer 0 ise cihaz taskı başarıyla kaydetmiştir anlamına gelir. Değilse hata var.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E9" sqref="E9"/>
    </sheetView>
  </sheetViews>
  <sheetFormatPr defaultRowHeight="14.4" x14ac:dyDescent="0.3"/>
  <cols>
    <col min="1" max="1" width="18.109375" customWidth="1"/>
    <col min="2" max="2" width="31.6640625" customWidth="1"/>
    <col min="3" max="3" width="18.5546875" customWidth="1"/>
    <col min="4" max="4" width="17.33203125" customWidth="1"/>
    <col min="5" max="5" width="17.5546875" customWidth="1"/>
    <col min="6" max="6" width="23" customWidth="1"/>
    <col min="7" max="7" width="24" customWidth="1"/>
    <col min="8" max="8" width="58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9</v>
      </c>
      <c r="G1" t="s">
        <v>4</v>
      </c>
      <c r="H1" t="s">
        <v>29</v>
      </c>
    </row>
    <row r="2" spans="1:8" x14ac:dyDescent="0.3">
      <c r="A2">
        <v>1</v>
      </c>
      <c r="B2" t="s">
        <v>7</v>
      </c>
      <c r="C2" s="1" t="s">
        <v>8</v>
      </c>
      <c r="D2">
        <v>1</v>
      </c>
      <c r="E2" t="s">
        <v>3</v>
      </c>
      <c r="F2" t="s">
        <v>27</v>
      </c>
    </row>
    <row r="3" spans="1:8" x14ac:dyDescent="0.3">
      <c r="A3">
        <v>2</v>
      </c>
      <c r="B3" t="s">
        <v>10</v>
      </c>
      <c r="C3" s="1" t="s">
        <v>8</v>
      </c>
      <c r="D3">
        <v>1</v>
      </c>
      <c r="E3" t="s">
        <v>3</v>
      </c>
      <c r="H3" s="1" t="s">
        <v>28</v>
      </c>
    </row>
    <row r="4" spans="1:8" ht="159.6" customHeight="1" x14ac:dyDescent="0.3">
      <c r="A4">
        <v>3</v>
      </c>
      <c r="B4" t="s">
        <v>11</v>
      </c>
      <c r="C4" s="1" t="s">
        <v>8</v>
      </c>
      <c r="D4">
        <v>1</v>
      </c>
      <c r="E4" t="s">
        <v>3</v>
      </c>
      <c r="G4" s="2" t="s">
        <v>30</v>
      </c>
    </row>
    <row r="5" spans="1:8" ht="205.8" customHeight="1" x14ac:dyDescent="0.3">
      <c r="A5">
        <v>4</v>
      </c>
      <c r="B5" t="s">
        <v>12</v>
      </c>
      <c r="C5" s="1" t="s">
        <v>26</v>
      </c>
      <c r="D5">
        <v>2</v>
      </c>
      <c r="E5" t="s">
        <v>24</v>
      </c>
      <c r="G5" s="2" t="s">
        <v>31</v>
      </c>
    </row>
    <row r="6" spans="1:8" x14ac:dyDescent="0.3">
      <c r="A6">
        <v>5</v>
      </c>
      <c r="B6" t="s">
        <v>13</v>
      </c>
      <c r="C6" s="1" t="s">
        <v>26</v>
      </c>
      <c r="D6">
        <v>2</v>
      </c>
      <c r="E6" t="s">
        <v>24</v>
      </c>
    </row>
    <row r="7" spans="1:8" x14ac:dyDescent="0.3">
      <c r="A7">
        <v>6</v>
      </c>
      <c r="B7" t="s">
        <v>14</v>
      </c>
      <c r="C7" s="1" t="s">
        <v>26</v>
      </c>
      <c r="D7">
        <v>1</v>
      </c>
      <c r="E7" t="s">
        <v>3</v>
      </c>
    </row>
    <row r="8" spans="1:8" x14ac:dyDescent="0.3">
      <c r="A8">
        <v>7</v>
      </c>
      <c r="B8" t="s">
        <v>15</v>
      </c>
      <c r="C8" s="1" t="s">
        <v>26</v>
      </c>
      <c r="D8">
        <v>1</v>
      </c>
      <c r="E8" t="s">
        <v>3</v>
      </c>
    </row>
    <row r="9" spans="1:8" x14ac:dyDescent="0.3">
      <c r="A9">
        <v>8</v>
      </c>
      <c r="B9" t="s">
        <v>16</v>
      </c>
      <c r="C9" s="1" t="s">
        <v>26</v>
      </c>
      <c r="D9">
        <v>1</v>
      </c>
      <c r="E9" t="s">
        <v>3</v>
      </c>
    </row>
    <row r="10" spans="1:8" x14ac:dyDescent="0.3">
      <c r="A10">
        <v>9</v>
      </c>
      <c r="B10" t="s">
        <v>23</v>
      </c>
      <c r="C10" s="1" t="s">
        <v>26</v>
      </c>
      <c r="D10">
        <v>2</v>
      </c>
      <c r="E10" t="s">
        <v>24</v>
      </c>
    </row>
    <row r="11" spans="1:8" x14ac:dyDescent="0.3">
      <c r="A11">
        <v>10</v>
      </c>
      <c r="B11" s="1" t="s">
        <v>17</v>
      </c>
      <c r="C11" s="1" t="s">
        <v>26</v>
      </c>
      <c r="D11">
        <v>2</v>
      </c>
      <c r="E11" t="s">
        <v>24</v>
      </c>
    </row>
    <row r="12" spans="1:8" x14ac:dyDescent="0.3">
      <c r="A12">
        <v>11</v>
      </c>
      <c r="B12" t="s">
        <v>18</v>
      </c>
      <c r="C12" s="1" t="s">
        <v>26</v>
      </c>
      <c r="D12">
        <v>1</v>
      </c>
      <c r="E12" t="s">
        <v>3</v>
      </c>
    </row>
    <row r="13" spans="1:8" x14ac:dyDescent="0.3">
      <c r="A13">
        <v>12</v>
      </c>
      <c r="B13" s="1" t="s">
        <v>19</v>
      </c>
      <c r="C13" s="1" t="s">
        <v>26</v>
      </c>
      <c r="D13">
        <v>1</v>
      </c>
      <c r="E13" t="s">
        <v>3</v>
      </c>
    </row>
    <row r="14" spans="1:8" x14ac:dyDescent="0.3">
      <c r="A14">
        <v>13</v>
      </c>
      <c r="B14" s="1" t="s">
        <v>20</v>
      </c>
      <c r="C14" s="1" t="s">
        <v>26</v>
      </c>
      <c r="D14">
        <v>4</v>
      </c>
      <c r="E14" t="s">
        <v>25</v>
      </c>
    </row>
    <row r="15" spans="1:8" x14ac:dyDescent="0.3">
      <c r="A15">
        <v>14</v>
      </c>
      <c r="B15" s="1" t="s">
        <v>21</v>
      </c>
      <c r="C15" s="1" t="s">
        <v>26</v>
      </c>
      <c r="D15">
        <v>4</v>
      </c>
      <c r="E15" t="s">
        <v>25</v>
      </c>
    </row>
    <row r="16" spans="1:8" x14ac:dyDescent="0.3">
      <c r="A16">
        <v>15</v>
      </c>
      <c r="B16" s="1" t="s">
        <v>22</v>
      </c>
      <c r="C16" s="1" t="s">
        <v>8</v>
      </c>
      <c r="D16">
        <v>1</v>
      </c>
      <c r="E16" t="s">
        <v>3</v>
      </c>
      <c r="F1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FBA3-2613-46F6-B56A-CBED835D8DC2}">
  <dimension ref="A1"/>
  <sheetViews>
    <sheetView workbookViewId="0">
      <selection activeCell="B29" sqref="B29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</cols>
  <sheetData>
    <row r="1" s="3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E0F9-D60E-453D-90A1-D4C3ABCB6271}">
  <dimension ref="A1:D17"/>
  <sheetViews>
    <sheetView workbookViewId="0">
      <selection activeCell="A25" sqref="A25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17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52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39</v>
      </c>
      <c r="B4">
        <v>1</v>
      </c>
      <c r="C4" t="s">
        <v>3</v>
      </c>
      <c r="D4" t="s">
        <v>53</v>
      </c>
    </row>
    <row r="5" spans="1:4" x14ac:dyDescent="0.3">
      <c r="A5" t="s">
        <v>40</v>
      </c>
      <c r="B5">
        <v>1</v>
      </c>
      <c r="C5" t="s">
        <v>3</v>
      </c>
      <c r="D5" t="s">
        <v>53</v>
      </c>
    </row>
    <row r="6" spans="1:4" x14ac:dyDescent="0.3">
      <c r="A6" t="s">
        <v>41</v>
      </c>
      <c r="B6">
        <v>1</v>
      </c>
      <c r="C6" t="s">
        <v>3</v>
      </c>
      <c r="D6" t="s">
        <v>53</v>
      </c>
    </row>
    <row r="7" spans="1:4" x14ac:dyDescent="0.3">
      <c r="A7" t="s">
        <v>42</v>
      </c>
      <c r="B7">
        <v>1</v>
      </c>
      <c r="C7" t="s">
        <v>3</v>
      </c>
      <c r="D7" t="s">
        <v>53</v>
      </c>
    </row>
    <row r="8" spans="1:4" x14ac:dyDescent="0.3">
      <c r="A8" t="s">
        <v>43</v>
      </c>
      <c r="B8">
        <v>1</v>
      </c>
      <c r="C8" t="s">
        <v>3</v>
      </c>
      <c r="D8" t="s">
        <v>53</v>
      </c>
    </row>
    <row r="9" spans="1:4" x14ac:dyDescent="0.3">
      <c r="A9" t="s">
        <v>44</v>
      </c>
      <c r="B9">
        <v>1</v>
      </c>
      <c r="C9" t="s">
        <v>3</v>
      </c>
      <c r="D9" t="s">
        <v>53</v>
      </c>
    </row>
    <row r="10" spans="1:4" x14ac:dyDescent="0.3">
      <c r="A10" t="s">
        <v>45</v>
      </c>
      <c r="B10">
        <v>1</v>
      </c>
      <c r="C10" t="s">
        <v>3</v>
      </c>
      <c r="D10" t="s">
        <v>53</v>
      </c>
    </row>
    <row r="11" spans="1:4" x14ac:dyDescent="0.3">
      <c r="A11" t="s">
        <v>46</v>
      </c>
      <c r="B11">
        <v>1</v>
      </c>
      <c r="C11" t="s">
        <v>3</v>
      </c>
      <c r="D11" t="s">
        <v>53</v>
      </c>
    </row>
    <row r="12" spans="1:4" x14ac:dyDescent="0.3">
      <c r="A12" t="s">
        <v>47</v>
      </c>
      <c r="B12">
        <v>1</v>
      </c>
      <c r="C12" t="s">
        <v>3</v>
      </c>
      <c r="D12" t="s">
        <v>53</v>
      </c>
    </row>
    <row r="13" spans="1:4" x14ac:dyDescent="0.3">
      <c r="A13" t="s">
        <v>48</v>
      </c>
      <c r="B13">
        <v>1</v>
      </c>
      <c r="C13" t="s">
        <v>3</v>
      </c>
      <c r="D13" t="s">
        <v>53</v>
      </c>
    </row>
    <row r="14" spans="1:4" x14ac:dyDescent="0.3">
      <c r="A14" t="s">
        <v>49</v>
      </c>
      <c r="B14">
        <v>1</v>
      </c>
      <c r="C14" t="s">
        <v>3</v>
      </c>
      <c r="D14" t="s">
        <v>53</v>
      </c>
    </row>
    <row r="15" spans="1:4" x14ac:dyDescent="0.3">
      <c r="A15" t="s">
        <v>49</v>
      </c>
      <c r="B15">
        <v>1</v>
      </c>
      <c r="C15" t="s">
        <v>3</v>
      </c>
      <c r="D15" t="s">
        <v>53</v>
      </c>
    </row>
    <row r="16" spans="1:4" x14ac:dyDescent="0.3">
      <c r="A16" t="s">
        <v>49</v>
      </c>
      <c r="B16">
        <v>1</v>
      </c>
      <c r="C16" t="s">
        <v>3</v>
      </c>
      <c r="D16" t="s">
        <v>53</v>
      </c>
    </row>
    <row r="17" spans="1:4" x14ac:dyDescent="0.3">
      <c r="A17" t="s">
        <v>50</v>
      </c>
      <c r="B17">
        <v>1</v>
      </c>
      <c r="C17" t="s">
        <v>3</v>
      </c>
      <c r="D17" t="s">
        <v>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917C-D038-4774-96E4-2E7326E77BCA}">
  <dimension ref="A1:D6"/>
  <sheetViews>
    <sheetView workbookViewId="0">
      <selection activeCell="J10" sqref="J10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17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55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32</v>
      </c>
      <c r="B4">
        <v>4</v>
      </c>
      <c r="C4" t="s">
        <v>37</v>
      </c>
    </row>
    <row r="5" spans="1:4" x14ac:dyDescent="0.3">
      <c r="A5" t="s">
        <v>33</v>
      </c>
      <c r="B5">
        <v>4</v>
      </c>
      <c r="C5" t="s">
        <v>37</v>
      </c>
    </row>
    <row r="6" spans="1:4" x14ac:dyDescent="0.3">
      <c r="A6" t="s">
        <v>34</v>
      </c>
      <c r="B6">
        <v>4</v>
      </c>
      <c r="C6" t="s">
        <v>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CC98-1337-4C3B-9181-D4BB928E1DAF}">
  <dimension ref="A1:D4"/>
  <sheetViews>
    <sheetView workbookViewId="0">
      <selection activeCell="A5" sqref="A5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23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59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56</v>
      </c>
      <c r="B4">
        <v>1</v>
      </c>
      <c r="C4" t="s">
        <v>3</v>
      </c>
      <c r="D4" t="s">
        <v>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F3BA-9A41-4E76-93FE-5364FEE9501D}">
  <dimension ref="A1:D10"/>
  <sheetViews>
    <sheetView workbookViewId="0">
      <selection activeCell="D39" sqref="D39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23.3320312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58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60</v>
      </c>
      <c r="B4">
        <v>1</v>
      </c>
      <c r="C4" t="s">
        <v>3</v>
      </c>
      <c r="D4" t="s">
        <v>67</v>
      </c>
    </row>
    <row r="5" spans="1:4" x14ac:dyDescent="0.3">
      <c r="A5" t="s">
        <v>61</v>
      </c>
      <c r="B5">
        <v>1</v>
      </c>
      <c r="C5" t="s">
        <v>3</v>
      </c>
    </row>
    <row r="6" spans="1:4" x14ac:dyDescent="0.3">
      <c r="A6" t="s">
        <v>62</v>
      </c>
      <c r="B6">
        <v>1</v>
      </c>
      <c r="C6" t="s">
        <v>3</v>
      </c>
    </row>
    <row r="7" spans="1:4" x14ac:dyDescent="0.3">
      <c r="A7" t="s">
        <v>63</v>
      </c>
      <c r="B7">
        <v>1</v>
      </c>
      <c r="C7" t="s">
        <v>3</v>
      </c>
    </row>
    <row r="8" spans="1:4" x14ac:dyDescent="0.3">
      <c r="A8" t="s">
        <v>64</v>
      </c>
      <c r="B8">
        <v>1</v>
      </c>
      <c r="C8" t="s">
        <v>3</v>
      </c>
    </row>
    <row r="9" spans="1:4" x14ac:dyDescent="0.3">
      <c r="A9" t="s">
        <v>65</v>
      </c>
      <c r="B9">
        <v>1</v>
      </c>
      <c r="C9" t="s">
        <v>3</v>
      </c>
    </row>
    <row r="10" spans="1:4" x14ac:dyDescent="0.3">
      <c r="A10" t="s">
        <v>66</v>
      </c>
      <c r="B10" t="s">
        <v>68</v>
      </c>
      <c r="C10" t="s">
        <v>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9AA4-4749-46F6-88EA-D766E66E7DB3}">
  <dimension ref="A1:D45"/>
  <sheetViews>
    <sheetView topLeftCell="A4" workbookViewId="0">
      <selection activeCell="D17" sqref="D17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37.554687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69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70</v>
      </c>
      <c r="B4">
        <v>1</v>
      </c>
      <c r="C4" t="s">
        <v>3</v>
      </c>
      <c r="D4" t="s">
        <v>112</v>
      </c>
    </row>
    <row r="5" spans="1:4" x14ac:dyDescent="0.3">
      <c r="A5" t="s">
        <v>71</v>
      </c>
      <c r="B5">
        <v>4</v>
      </c>
      <c r="C5" t="s">
        <v>25</v>
      </c>
    </row>
    <row r="6" spans="1:4" x14ac:dyDescent="0.3">
      <c r="A6" t="s">
        <v>72</v>
      </c>
      <c r="B6">
        <v>1</v>
      </c>
      <c r="C6" t="s">
        <v>3</v>
      </c>
      <c r="D6" t="s">
        <v>113</v>
      </c>
    </row>
    <row r="7" spans="1:4" x14ac:dyDescent="0.3">
      <c r="A7" t="s">
        <v>73</v>
      </c>
      <c r="B7">
        <v>1</v>
      </c>
      <c r="C7" t="s">
        <v>3</v>
      </c>
    </row>
    <row r="8" spans="1:4" x14ac:dyDescent="0.3">
      <c r="A8" t="s">
        <v>74</v>
      </c>
      <c r="B8">
        <v>1</v>
      </c>
      <c r="C8" t="s">
        <v>3</v>
      </c>
    </row>
    <row r="9" spans="1:4" x14ac:dyDescent="0.3">
      <c r="A9" t="s">
        <v>75</v>
      </c>
      <c r="B9">
        <v>1</v>
      </c>
      <c r="C9" t="s">
        <v>3</v>
      </c>
      <c r="D9" t="s">
        <v>114</v>
      </c>
    </row>
    <row r="10" spans="1:4" x14ac:dyDescent="0.3">
      <c r="A10" t="s">
        <v>76</v>
      </c>
      <c r="B10">
        <v>1</v>
      </c>
      <c r="C10" t="s">
        <v>3</v>
      </c>
      <c r="D10" t="s">
        <v>115</v>
      </c>
    </row>
    <row r="11" spans="1:4" x14ac:dyDescent="0.3">
      <c r="A11" t="s">
        <v>77</v>
      </c>
      <c r="B11">
        <v>1</v>
      </c>
      <c r="C11" t="s">
        <v>3</v>
      </c>
      <c r="D11" t="s">
        <v>116</v>
      </c>
    </row>
    <row r="12" spans="1:4" x14ac:dyDescent="0.3">
      <c r="A12" t="s">
        <v>78</v>
      </c>
      <c r="B12">
        <v>1</v>
      </c>
      <c r="C12" t="s">
        <v>3</v>
      </c>
    </row>
    <row r="13" spans="1:4" x14ac:dyDescent="0.3">
      <c r="A13" t="s">
        <v>79</v>
      </c>
      <c r="B13">
        <v>1</v>
      </c>
      <c r="C13" t="s">
        <v>3</v>
      </c>
      <c r="D13" t="s">
        <v>117</v>
      </c>
    </row>
    <row r="14" spans="1:4" x14ac:dyDescent="0.3">
      <c r="A14" t="s">
        <v>80</v>
      </c>
      <c r="B14">
        <v>1</v>
      </c>
      <c r="C14" t="s">
        <v>3</v>
      </c>
      <c r="D14" t="s">
        <v>118</v>
      </c>
    </row>
    <row r="15" spans="1:4" x14ac:dyDescent="0.3">
      <c r="A15" t="s">
        <v>81</v>
      </c>
      <c r="B15">
        <v>1</v>
      </c>
      <c r="C15" t="s">
        <v>3</v>
      </c>
      <c r="D15" t="s">
        <v>119</v>
      </c>
    </row>
    <row r="16" spans="1:4" x14ac:dyDescent="0.3">
      <c r="A16" t="s">
        <v>82</v>
      </c>
      <c r="B16">
        <v>1</v>
      </c>
      <c r="C16" t="s">
        <v>3</v>
      </c>
      <c r="D16">
        <v>1</v>
      </c>
    </row>
    <row r="17" spans="1:4" x14ac:dyDescent="0.3">
      <c r="A17" t="s">
        <v>83</v>
      </c>
      <c r="B17">
        <v>1</v>
      </c>
      <c r="C17" t="s">
        <v>3</v>
      </c>
      <c r="D17" t="s">
        <v>120</v>
      </c>
    </row>
    <row r="18" spans="1:4" x14ac:dyDescent="0.3">
      <c r="A18" t="s">
        <v>84</v>
      </c>
      <c r="B18">
        <v>1</v>
      </c>
      <c r="C18" t="s">
        <v>3</v>
      </c>
      <c r="D18" t="s">
        <v>120</v>
      </c>
    </row>
    <row r="19" spans="1:4" x14ac:dyDescent="0.3">
      <c r="A19" t="s">
        <v>85</v>
      </c>
      <c r="B19">
        <v>1</v>
      </c>
      <c r="C19" t="s">
        <v>3</v>
      </c>
      <c r="D19" t="s">
        <v>121</v>
      </c>
    </row>
    <row r="20" spans="1:4" x14ac:dyDescent="0.3">
      <c r="A20" t="s">
        <v>86</v>
      </c>
      <c r="B20">
        <v>1</v>
      </c>
      <c r="C20" t="s">
        <v>3</v>
      </c>
      <c r="D20" t="s">
        <v>120</v>
      </c>
    </row>
    <row r="21" spans="1:4" x14ac:dyDescent="0.3">
      <c r="A21" t="s">
        <v>87</v>
      </c>
      <c r="B21">
        <v>1</v>
      </c>
      <c r="C21" t="s">
        <v>3</v>
      </c>
      <c r="D21" t="s">
        <v>120</v>
      </c>
    </row>
    <row r="22" spans="1:4" x14ac:dyDescent="0.3">
      <c r="A22" t="s">
        <v>88</v>
      </c>
      <c r="B22">
        <v>1</v>
      </c>
      <c r="C22" t="s">
        <v>3</v>
      </c>
      <c r="D22" t="s">
        <v>121</v>
      </c>
    </row>
    <row r="23" spans="1:4" x14ac:dyDescent="0.3">
      <c r="A23" t="s">
        <v>89</v>
      </c>
      <c r="B23">
        <v>1</v>
      </c>
      <c r="C23" t="s">
        <v>3</v>
      </c>
      <c r="D23" t="s">
        <v>122</v>
      </c>
    </row>
    <row r="24" spans="1:4" x14ac:dyDescent="0.3">
      <c r="A24" t="s">
        <v>90</v>
      </c>
      <c r="B24">
        <v>1</v>
      </c>
      <c r="C24" t="s">
        <v>3</v>
      </c>
    </row>
    <row r="25" spans="1:4" x14ac:dyDescent="0.3">
      <c r="A25" t="s">
        <v>91</v>
      </c>
      <c r="B25">
        <v>1</v>
      </c>
      <c r="C25" t="s">
        <v>3</v>
      </c>
    </row>
    <row r="26" spans="1:4" x14ac:dyDescent="0.3">
      <c r="A26" t="s">
        <v>92</v>
      </c>
      <c r="B26">
        <v>1</v>
      </c>
      <c r="C26" t="s">
        <v>3</v>
      </c>
    </row>
    <row r="27" spans="1:4" x14ac:dyDescent="0.3">
      <c r="A27" t="s">
        <v>93</v>
      </c>
      <c r="B27">
        <v>1</v>
      </c>
      <c r="C27" t="s">
        <v>3</v>
      </c>
    </row>
    <row r="28" spans="1:4" x14ac:dyDescent="0.3">
      <c r="A28" t="s">
        <v>94</v>
      </c>
      <c r="B28">
        <v>1</v>
      </c>
      <c r="C28" t="s">
        <v>3</v>
      </c>
    </row>
    <row r="29" spans="1:4" x14ac:dyDescent="0.3">
      <c r="A29" t="s">
        <v>95</v>
      </c>
      <c r="B29">
        <v>1</v>
      </c>
      <c r="C29" t="s">
        <v>3</v>
      </c>
    </row>
    <row r="30" spans="1:4" x14ac:dyDescent="0.3">
      <c r="A30" t="s">
        <v>96</v>
      </c>
      <c r="B30">
        <v>1</v>
      </c>
      <c r="C30" t="s">
        <v>3</v>
      </c>
    </row>
    <row r="31" spans="1:4" x14ac:dyDescent="0.3">
      <c r="A31" t="s">
        <v>97</v>
      </c>
      <c r="B31">
        <v>1</v>
      </c>
      <c r="C31" t="s">
        <v>3</v>
      </c>
    </row>
    <row r="32" spans="1:4" x14ac:dyDescent="0.3">
      <c r="A32" t="s">
        <v>98</v>
      </c>
      <c r="B32">
        <v>1</v>
      </c>
      <c r="C32" t="s">
        <v>3</v>
      </c>
    </row>
    <row r="33" spans="1:3" x14ac:dyDescent="0.3">
      <c r="A33" t="s">
        <v>99</v>
      </c>
      <c r="B33">
        <v>1</v>
      </c>
      <c r="C33" t="s">
        <v>3</v>
      </c>
    </row>
    <row r="34" spans="1:3" x14ac:dyDescent="0.3">
      <c r="A34" t="s">
        <v>100</v>
      </c>
      <c r="B34">
        <v>1</v>
      </c>
      <c r="C34" t="s">
        <v>3</v>
      </c>
    </row>
    <row r="35" spans="1:3" x14ac:dyDescent="0.3">
      <c r="A35" t="s">
        <v>101</v>
      </c>
      <c r="B35">
        <v>1</v>
      </c>
      <c r="C35" t="s">
        <v>3</v>
      </c>
    </row>
    <row r="36" spans="1:3" x14ac:dyDescent="0.3">
      <c r="A36" t="s">
        <v>102</v>
      </c>
      <c r="B36">
        <v>1</v>
      </c>
      <c r="C36" t="s">
        <v>3</v>
      </c>
    </row>
    <row r="37" spans="1:3" x14ac:dyDescent="0.3">
      <c r="A37" t="s">
        <v>103</v>
      </c>
      <c r="B37">
        <v>1</v>
      </c>
      <c r="C37" t="s">
        <v>3</v>
      </c>
    </row>
    <row r="38" spans="1:3" x14ac:dyDescent="0.3">
      <c r="A38" t="s">
        <v>104</v>
      </c>
      <c r="B38">
        <v>1</v>
      </c>
      <c r="C38" t="s">
        <v>3</v>
      </c>
    </row>
    <row r="39" spans="1:3" x14ac:dyDescent="0.3">
      <c r="A39" t="s">
        <v>105</v>
      </c>
      <c r="B39">
        <v>1</v>
      </c>
      <c r="C39" t="s">
        <v>3</v>
      </c>
    </row>
    <row r="40" spans="1:3" x14ac:dyDescent="0.3">
      <c r="A40" t="s">
        <v>106</v>
      </c>
      <c r="B40">
        <v>1</v>
      </c>
      <c r="C40" t="s">
        <v>3</v>
      </c>
    </row>
    <row r="41" spans="1:3" x14ac:dyDescent="0.3">
      <c r="A41" t="s">
        <v>107</v>
      </c>
      <c r="B41">
        <v>1</v>
      </c>
      <c r="C41" t="s">
        <v>3</v>
      </c>
    </row>
    <row r="42" spans="1:3" x14ac:dyDescent="0.3">
      <c r="A42" t="s">
        <v>108</v>
      </c>
      <c r="B42">
        <v>1</v>
      </c>
      <c r="C42" t="s">
        <v>3</v>
      </c>
    </row>
    <row r="43" spans="1:3" x14ac:dyDescent="0.3">
      <c r="A43" t="s">
        <v>109</v>
      </c>
      <c r="B43">
        <v>1</v>
      </c>
      <c r="C43" t="s">
        <v>3</v>
      </c>
    </row>
    <row r="44" spans="1:3" x14ac:dyDescent="0.3">
      <c r="A44" t="s">
        <v>110</v>
      </c>
      <c r="B44">
        <v>1</v>
      </c>
      <c r="C44" t="s">
        <v>3</v>
      </c>
    </row>
    <row r="45" spans="1:3" x14ac:dyDescent="0.3">
      <c r="A45" t="s">
        <v>111</v>
      </c>
      <c r="B45">
        <f>SUM(B2:B44)</f>
        <v>46</v>
      </c>
    </row>
  </sheetData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733D-D9C2-4A5A-B0ED-648F60ED3B22}">
  <dimension ref="A1:D13"/>
  <sheetViews>
    <sheetView tabSelected="1" workbookViewId="0">
      <selection activeCell="H18" sqref="H18"/>
    </sheetView>
  </sheetViews>
  <sheetFormatPr defaultRowHeight="14.4" x14ac:dyDescent="0.3"/>
  <cols>
    <col min="1" max="1" width="46.109375" customWidth="1"/>
    <col min="2" max="2" width="18.33203125" customWidth="1"/>
    <col min="3" max="3" width="17.88671875" customWidth="1"/>
    <col min="4" max="4" width="37.5546875" customWidth="1"/>
  </cols>
  <sheetData>
    <row r="1" spans="1:4" s="5" customFormat="1" ht="33" customHeight="1" x14ac:dyDescent="0.4">
      <c r="A1" s="4" t="s">
        <v>35</v>
      </c>
      <c r="B1" s="4" t="s">
        <v>38</v>
      </c>
      <c r="C1" s="4" t="s">
        <v>6</v>
      </c>
      <c r="D1" s="6" t="s">
        <v>51</v>
      </c>
    </row>
    <row r="2" spans="1:4" x14ac:dyDescent="0.3">
      <c r="A2" t="s">
        <v>54</v>
      </c>
      <c r="B2">
        <v>1</v>
      </c>
      <c r="C2" t="s">
        <v>3</v>
      </c>
      <c r="D2" t="s">
        <v>131</v>
      </c>
    </row>
    <row r="3" spans="1:4" x14ac:dyDescent="0.3">
      <c r="A3" t="s">
        <v>36</v>
      </c>
      <c r="B3">
        <v>1</v>
      </c>
      <c r="C3" t="s">
        <v>3</v>
      </c>
    </row>
    <row r="4" spans="1:4" x14ac:dyDescent="0.3">
      <c r="A4" t="s">
        <v>71</v>
      </c>
      <c r="B4">
        <v>4</v>
      </c>
      <c r="C4" t="s">
        <v>25</v>
      </c>
    </row>
    <row r="5" spans="1:4" x14ac:dyDescent="0.3">
      <c r="A5" t="s">
        <v>123</v>
      </c>
      <c r="B5">
        <v>1</v>
      </c>
      <c r="C5" t="s">
        <v>3</v>
      </c>
    </row>
    <row r="6" spans="1:4" x14ac:dyDescent="0.3">
      <c r="A6" t="s">
        <v>124</v>
      </c>
      <c r="B6">
        <v>1</v>
      </c>
      <c r="C6" t="s">
        <v>3</v>
      </c>
      <c r="D6" t="s">
        <v>132</v>
      </c>
    </row>
    <row r="7" spans="1:4" x14ac:dyDescent="0.3">
      <c r="A7" t="s">
        <v>125</v>
      </c>
      <c r="B7">
        <v>1</v>
      </c>
      <c r="C7" t="s">
        <v>3</v>
      </c>
      <c r="D7" t="s">
        <v>133</v>
      </c>
    </row>
    <row r="8" spans="1:4" x14ac:dyDescent="0.3">
      <c r="A8" t="s">
        <v>126</v>
      </c>
      <c r="B8">
        <v>1</v>
      </c>
      <c r="C8" t="s">
        <v>3</v>
      </c>
    </row>
    <row r="9" spans="1:4" x14ac:dyDescent="0.3">
      <c r="A9" t="s">
        <v>127</v>
      </c>
      <c r="B9">
        <v>1</v>
      </c>
      <c r="C9" t="s">
        <v>3</v>
      </c>
    </row>
    <row r="10" spans="1:4" x14ac:dyDescent="0.3">
      <c r="A10" t="s">
        <v>128</v>
      </c>
      <c r="B10">
        <v>1</v>
      </c>
      <c r="C10" t="s">
        <v>3</v>
      </c>
    </row>
    <row r="11" spans="1:4" x14ac:dyDescent="0.3">
      <c r="A11" t="s">
        <v>129</v>
      </c>
      <c r="B11">
        <v>1</v>
      </c>
      <c r="C11" t="s">
        <v>3</v>
      </c>
    </row>
    <row r="12" spans="1:4" x14ac:dyDescent="0.3">
      <c r="A12" t="s">
        <v>130</v>
      </c>
      <c r="B12">
        <v>1</v>
      </c>
      <c r="C12" t="s">
        <v>3</v>
      </c>
    </row>
    <row r="13" spans="1:4" x14ac:dyDescent="0.3">
      <c r="A13" t="s">
        <v>111</v>
      </c>
      <c r="B13">
        <f>SUM(B2:B12)</f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Kanallar Idler</vt:lpstr>
      <vt:lpstr>Genel Bilgi</vt:lpstr>
      <vt:lpstr>DeviceSetup 1</vt:lpstr>
      <vt:lpstr>LocationSetup 2</vt:lpstr>
      <vt:lpstr>Live Control 4</vt:lpstr>
      <vt:lpstr>Sensor Data 5</vt:lpstr>
      <vt:lpstr>Send Task 6</vt:lpstr>
      <vt:lpstr>TaskResponse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alisahin asya</dc:creator>
  <cp:lastModifiedBy>alisahin asya</cp:lastModifiedBy>
  <dcterms:created xsi:type="dcterms:W3CDTF">2015-06-05T18:19:34Z</dcterms:created>
  <dcterms:modified xsi:type="dcterms:W3CDTF">2026-01-30T10:38:52Z</dcterms:modified>
</cp:coreProperties>
</file>